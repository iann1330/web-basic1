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abian xpplg 1\"/>
    </mc:Choice>
  </mc:AlternateContent>
  <xr:revisionPtr revIDLastSave="0" documentId="8_{1ADD7607-FDC7-4462-A1C5-1D06DA1D8BFA}" xr6:coauthVersionLast="47" xr6:coauthVersionMax="47" xr10:uidLastSave="{00000000-0000-0000-0000-000000000000}"/>
  <bookViews>
    <workbookView xWindow="-120" yWindow="-120" windowWidth="20730" windowHeight="11310" xr2:uid="{FFD02204-DA9B-40EE-BDD4-F751A6898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" i="1" l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4" i="1"/>
  <c r="AB4" i="1"/>
  <c r="AB14" i="1"/>
  <c r="AB15" i="1"/>
  <c r="AB16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6" i="1"/>
  <c r="AB7" i="1"/>
  <c r="AB8" i="1"/>
  <c r="AB9" i="1"/>
  <c r="AB10" i="1"/>
  <c r="AB11" i="1"/>
  <c r="AB12" i="1"/>
  <c r="AB5" i="1"/>
  <c r="AB13" i="1"/>
  <c r="AB17" i="1"/>
  <c r="AA4" i="1"/>
  <c r="AA28" i="1"/>
  <c r="AA29" i="1"/>
  <c r="AA30" i="1"/>
  <c r="AA31" i="1"/>
  <c r="AA32" i="1"/>
  <c r="AA33" i="1"/>
  <c r="AA34" i="1"/>
  <c r="AA35" i="1"/>
  <c r="AA36" i="1"/>
  <c r="AA17" i="1"/>
  <c r="AA18" i="1"/>
  <c r="AA19" i="1"/>
  <c r="AA20" i="1"/>
  <c r="AA21" i="1"/>
  <c r="AA22" i="1"/>
  <c r="AA23" i="1"/>
  <c r="AA24" i="1"/>
  <c r="AA25" i="1"/>
  <c r="AA5" i="1"/>
  <c r="AA6" i="1"/>
  <c r="AA7" i="1"/>
  <c r="AA8" i="1"/>
  <c r="AA9" i="1"/>
  <c r="AA10" i="1"/>
  <c r="AA11" i="1"/>
  <c r="AA12" i="1"/>
  <c r="AA13" i="1"/>
  <c r="AA14" i="1"/>
  <c r="AA15" i="1"/>
  <c r="AA16" i="1"/>
  <c r="AA26" i="1"/>
  <c r="AA27" i="1"/>
  <c r="Z4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9" i="1"/>
  <c r="Z10" i="1"/>
  <c r="Z5" i="1"/>
  <c r="Z6" i="1"/>
  <c r="Z7" i="1"/>
  <c r="Z8" i="1"/>
  <c r="Z11" i="1"/>
  <c r="Z12" i="1"/>
</calcChain>
</file>

<file path=xl/sharedStrings.xml><?xml version="1.0" encoding="utf-8"?>
<sst xmlns="http://schemas.openxmlformats.org/spreadsheetml/2006/main" count="707" uniqueCount="51">
  <si>
    <t>NO</t>
  </si>
  <si>
    <t>Nama Siswa</t>
  </si>
  <si>
    <t>Alif Pascal Harmani</t>
  </si>
  <si>
    <t>Ananda Rahayu Binangkit</t>
  </si>
  <si>
    <t>Andini Aulia Rizky</t>
  </si>
  <si>
    <t>Ardelle Livianna Surya</t>
  </si>
  <si>
    <t>Aryo Naufal Dzaky</t>
  </si>
  <si>
    <t>Audyliani Alfallsya Fajarina</t>
  </si>
  <si>
    <t>Azka Maulana Ghassani</t>
  </si>
  <si>
    <t>Balqis Aulia Gayatri</t>
  </si>
  <si>
    <t>Clara Dwi Jayanti</t>
  </si>
  <si>
    <t>Daviena Anastasya</t>
  </si>
  <si>
    <t>Dharell Alfiansyah</t>
  </si>
  <si>
    <t>Dhea Amelia Putri</t>
  </si>
  <si>
    <t>Ersi Leonardo</t>
  </si>
  <si>
    <t>Fabian Damor Cressida</t>
  </si>
  <si>
    <t>Fadli Dhaiffulloh Wahid</t>
  </si>
  <si>
    <t>Farah Aulia</t>
  </si>
  <si>
    <t>Ivander Fawwaz Aryasatya</t>
  </si>
  <si>
    <t>M. Andhika Nugraha Pratama</t>
  </si>
  <si>
    <t>Mochammad Islami Al Hassya</t>
  </si>
  <si>
    <t>Muhammad Pratama Nugraha</t>
  </si>
  <si>
    <t>Muhammad Ral Amsi</t>
  </si>
  <si>
    <t>Naura Kamila Bachtiar</t>
  </si>
  <si>
    <t>Nawra Nizrina</t>
  </si>
  <si>
    <t>Nikmah Fauziah</t>
  </si>
  <si>
    <t>Qinar Tirtasetiyowarno</t>
  </si>
  <si>
    <t>Rahma Oktavia</t>
  </si>
  <si>
    <t>Reisya Aulia Fajrin Hidayat</t>
  </si>
  <si>
    <t>Sapta Galih</t>
  </si>
  <si>
    <t>Siti Novelia Dakwany</t>
  </si>
  <si>
    <t>Umair Hiromasa Khair</t>
  </si>
  <si>
    <t>Zahida Nur Baiti</t>
  </si>
  <si>
    <t>Zaura Syafaatin Azka</t>
  </si>
  <si>
    <t>Wathon</t>
  </si>
  <si>
    <t>Januari</t>
  </si>
  <si>
    <t>v</t>
  </si>
  <si>
    <t>i</t>
  </si>
  <si>
    <t>a</t>
  </si>
  <si>
    <t>s</t>
  </si>
  <si>
    <t>Februari</t>
  </si>
  <si>
    <t>Tanggal</t>
  </si>
  <si>
    <t>Maret</t>
  </si>
  <si>
    <t>April</t>
  </si>
  <si>
    <t>Mei</t>
  </si>
  <si>
    <t>PERTEMUAN</t>
  </si>
  <si>
    <t>SAKIT</t>
  </si>
  <si>
    <t>ALPHA</t>
  </si>
  <si>
    <t>IZIN</t>
  </si>
  <si>
    <t>KEHADIRAN</t>
  </si>
  <si>
    <t>PRESENTASE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</si>
</sst>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6" tint="0.7999816888943144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9" fontId="0" fillId="0" borderId="0" xfId="1" applyFont="1"/>
    <xf numFmtId="0" fontId="0" fillId="10" borderId="1" xfId="0" applyFill="1" applyBorder="1"/>
    <xf numFmtId="0" fontId="7" fillId="10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0" fillId="2" borderId="1" xfId="0" applyFill="1" applyBorder="1"/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0" fillId="11" borderId="1" xfId="0" applyFill="1" applyBorder="1" applyAlignment="1">
      <alignment horizontal="center"/>
    </xf>
    <xf numFmtId="0" fontId="0" fillId="12" borderId="1" xfId="0" applyFill="1" applyBorder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0" fillId="14" borderId="1" xfId="0" applyFill="1" applyBorder="1"/>
    <xf numFmtId="0" fontId="0" fillId="5" borderId="1" xfId="0" applyFill="1" applyBorder="1"/>
    <xf numFmtId="9" fontId="0" fillId="0" borderId="1" xfId="1" applyFont="1" applyBorder="1"/>
    <xf numFmtId="0" fontId="0" fillId="15" borderId="1" xfId="0" applyFill="1" applyBorder="1"/>
    <xf numFmtId="0" fontId="0" fillId="13" borderId="1" xfId="0" applyFill="1" applyBorder="1"/>
  </cellXfs>
  <cellStyles count="2">
    <cellStyle name="Normal" xfId="0" builtinId="0"/>
    <cellStyle name="Percent" xfId="1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7030A0"/>
        </patternFill>
      </fill>
    </dxf>
    <dxf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58E3-61E7-4446-8C2E-E072F8039634}">
  <dimension ref="B1:AD37"/>
  <sheetViews>
    <sheetView tabSelected="1" topLeftCell="D1" zoomScale="87" zoomScaleNormal="87" workbookViewId="0">
      <selection activeCell="L41" sqref="L41"/>
    </sheetView>
  </sheetViews>
  <sheetFormatPr defaultRowHeight="15" x14ac:dyDescent="0.25"/>
  <cols>
    <col min="1" max="1" width="3.85546875" bestFit="1" customWidth="1"/>
    <col min="2" max="2" width="11.5703125" bestFit="1" customWidth="1"/>
    <col min="4" max="4" width="27.7109375" bestFit="1" customWidth="1"/>
    <col min="29" max="29" width="11.42578125" bestFit="1" customWidth="1"/>
    <col min="30" max="30" width="12" bestFit="1" customWidth="1"/>
  </cols>
  <sheetData>
    <row r="1" spans="2:30" ht="28.5" x14ac:dyDescent="0.45">
      <c r="B1" s="1"/>
      <c r="C1" s="3"/>
      <c r="D1" s="3"/>
      <c r="E1" s="4" t="s">
        <v>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7" t="s">
        <v>47</v>
      </c>
      <c r="AA1" s="8" t="s">
        <v>48</v>
      </c>
      <c r="AB1" s="9" t="s">
        <v>46</v>
      </c>
      <c r="AC1" s="10" t="s">
        <v>49</v>
      </c>
      <c r="AD1" s="11" t="s">
        <v>50</v>
      </c>
    </row>
    <row r="2" spans="2:30" ht="23.25" x14ac:dyDescent="0.35">
      <c r="B2" s="1"/>
      <c r="C2" s="12" t="s">
        <v>0</v>
      </c>
      <c r="D2" s="13" t="s">
        <v>1</v>
      </c>
      <c r="E2" s="14" t="s">
        <v>35</v>
      </c>
      <c r="F2" s="15"/>
      <c r="G2" s="15"/>
      <c r="H2" s="15"/>
      <c r="I2" s="16" t="s">
        <v>40</v>
      </c>
      <c r="J2" s="17"/>
      <c r="K2" s="17"/>
      <c r="L2" s="17"/>
      <c r="M2" s="18" t="s">
        <v>42</v>
      </c>
      <c r="N2" s="19"/>
      <c r="O2" s="19"/>
      <c r="P2" s="19"/>
      <c r="Q2" s="20" t="s">
        <v>43</v>
      </c>
      <c r="R2" s="21"/>
      <c r="S2" s="21"/>
      <c r="T2" s="21"/>
      <c r="U2" s="22" t="s">
        <v>44</v>
      </c>
      <c r="V2" s="23"/>
      <c r="W2" s="23"/>
      <c r="X2" s="23"/>
      <c r="Y2" s="6"/>
      <c r="Z2" s="7"/>
      <c r="AA2" s="24"/>
      <c r="AB2" s="25"/>
      <c r="AC2" s="26"/>
      <c r="AD2" s="27"/>
    </row>
    <row r="3" spans="2:30" ht="18.75" x14ac:dyDescent="0.3">
      <c r="B3" s="1"/>
      <c r="C3" s="28" t="s">
        <v>41</v>
      </c>
      <c r="D3" s="17"/>
      <c r="E3" s="29">
        <v>1</v>
      </c>
      <c r="F3" s="29">
        <v>12</v>
      </c>
      <c r="G3" s="29">
        <v>19</v>
      </c>
      <c r="H3" s="29"/>
      <c r="I3" s="29">
        <v>1</v>
      </c>
      <c r="J3" s="29">
        <v>12</v>
      </c>
      <c r="K3" s="29">
        <v>27</v>
      </c>
      <c r="L3" s="29"/>
      <c r="M3" s="29">
        <v>1</v>
      </c>
      <c r="N3" s="29">
        <v>12</v>
      </c>
      <c r="O3" s="29">
        <v>27</v>
      </c>
      <c r="P3" s="29"/>
      <c r="Q3" s="29">
        <v>1</v>
      </c>
      <c r="R3" s="29">
        <v>12</v>
      </c>
      <c r="S3" s="29">
        <v>27</v>
      </c>
      <c r="T3" s="29"/>
      <c r="U3" s="29">
        <v>1</v>
      </c>
      <c r="V3" s="29">
        <v>12</v>
      </c>
      <c r="W3" s="29">
        <v>27</v>
      </c>
      <c r="X3" s="29"/>
      <c r="Y3" s="6"/>
      <c r="Z3" s="7"/>
      <c r="AA3" s="24"/>
      <c r="AB3" s="25"/>
      <c r="AC3" s="26"/>
      <c r="AD3" s="27"/>
    </row>
    <row r="4" spans="2:30" x14ac:dyDescent="0.25">
      <c r="B4" s="1"/>
      <c r="C4" s="30">
        <v>1</v>
      </c>
      <c r="D4" s="31" t="s">
        <v>2</v>
      </c>
      <c r="E4" s="32" t="s">
        <v>36</v>
      </c>
      <c r="F4" s="32" t="s">
        <v>36</v>
      </c>
      <c r="G4" s="32" t="s">
        <v>39</v>
      </c>
      <c r="H4" s="32" t="s">
        <v>36</v>
      </c>
      <c r="I4" s="32" t="s">
        <v>36</v>
      </c>
      <c r="J4" s="32" t="s">
        <v>36</v>
      </c>
      <c r="K4" s="32" t="s">
        <v>39</v>
      </c>
      <c r="L4" s="32" t="s">
        <v>36</v>
      </c>
      <c r="M4" s="32" t="s">
        <v>36</v>
      </c>
      <c r="N4" s="32" t="s">
        <v>36</v>
      </c>
      <c r="O4" s="32" t="s">
        <v>39</v>
      </c>
      <c r="P4" s="32" t="s">
        <v>36</v>
      </c>
      <c r="Q4" s="32" t="s">
        <v>36</v>
      </c>
      <c r="R4" s="32" t="s">
        <v>36</v>
      </c>
      <c r="S4" s="32" t="s">
        <v>39</v>
      </c>
      <c r="T4" s="32" t="s">
        <v>36</v>
      </c>
      <c r="U4" s="32" t="s">
        <v>36</v>
      </c>
      <c r="V4" s="32" t="s">
        <v>36</v>
      </c>
      <c r="W4" s="32" t="s">
        <v>39</v>
      </c>
      <c r="X4" s="32" t="s">
        <v>36</v>
      </c>
      <c r="Y4" s="6"/>
      <c r="Z4" s="33">
        <f t="shared" ref="Z4:Z36" si="0">COUNTIF(E4:X4, "a")</f>
        <v>0</v>
      </c>
      <c r="AA4" s="34">
        <f>COUNTIF(E4:X4, "i")</f>
        <v>0</v>
      </c>
      <c r="AB4" s="35">
        <f>COUNTIF(E4:X4, "s")</f>
        <v>5</v>
      </c>
      <c r="AC4" s="29">
        <f>COUNTIF(E4:X4, "V")</f>
        <v>15</v>
      </c>
      <c r="AD4" s="36">
        <f>AC4/(AB4+AA4+Z4+AC4)</f>
        <v>0.75</v>
      </c>
    </row>
    <row r="5" spans="2:30" x14ac:dyDescent="0.25">
      <c r="B5" s="1"/>
      <c r="C5" s="30">
        <v>2</v>
      </c>
      <c r="D5" s="31" t="s">
        <v>3</v>
      </c>
      <c r="E5" s="32" t="s">
        <v>36</v>
      </c>
      <c r="F5" s="32" t="s">
        <v>36</v>
      </c>
      <c r="G5" s="32" t="s">
        <v>36</v>
      </c>
      <c r="H5" s="32" t="s">
        <v>36</v>
      </c>
      <c r="I5" s="32" t="s">
        <v>36</v>
      </c>
      <c r="J5" s="32" t="s">
        <v>36</v>
      </c>
      <c r="K5" s="32" t="s">
        <v>36</v>
      </c>
      <c r="L5" s="32" t="s">
        <v>36</v>
      </c>
      <c r="M5" s="32" t="s">
        <v>36</v>
      </c>
      <c r="N5" s="32" t="s">
        <v>36</v>
      </c>
      <c r="O5" s="32" t="s">
        <v>36</v>
      </c>
      <c r="P5" s="32" t="s">
        <v>36</v>
      </c>
      <c r="Q5" s="32" t="s">
        <v>36</v>
      </c>
      <c r="R5" s="32" t="s">
        <v>36</v>
      </c>
      <c r="S5" s="32" t="s">
        <v>36</v>
      </c>
      <c r="T5" s="32" t="s">
        <v>36</v>
      </c>
      <c r="U5" s="32" t="s">
        <v>36</v>
      </c>
      <c r="V5" s="32" t="s">
        <v>36</v>
      </c>
      <c r="W5" s="32" t="s">
        <v>36</v>
      </c>
      <c r="X5" s="32" t="s">
        <v>36</v>
      </c>
      <c r="Y5" s="6"/>
      <c r="Z5" s="33">
        <f t="shared" si="0"/>
        <v>0</v>
      </c>
      <c r="AA5" s="34">
        <f t="shared" ref="AA5:AA14" si="1">COUNTIF(E5:X5, "i")</f>
        <v>0</v>
      </c>
      <c r="AB5" s="37">
        <f t="shared" ref="AB5:AB36" si="2">COUNTIF(E5:X5, "s")</f>
        <v>0</v>
      </c>
      <c r="AC5" s="29">
        <f t="shared" ref="AC5:AC36" si="3">COUNTIF(E5:X5, "V")</f>
        <v>20</v>
      </c>
      <c r="AD5" s="36">
        <f t="shared" ref="AD5:AD36" si="4">AC5/(AB5+AA5+Z5+AC5)</f>
        <v>1</v>
      </c>
    </row>
    <row r="6" spans="2:30" x14ac:dyDescent="0.25">
      <c r="B6" s="1"/>
      <c r="C6" s="30">
        <v>3</v>
      </c>
      <c r="D6" s="31" t="s">
        <v>4</v>
      </c>
      <c r="E6" s="32" t="s">
        <v>36</v>
      </c>
      <c r="F6" s="32" t="s">
        <v>36</v>
      </c>
      <c r="G6" s="32" t="s">
        <v>36</v>
      </c>
      <c r="H6" s="32" t="s">
        <v>36</v>
      </c>
      <c r="I6" s="32" t="s">
        <v>36</v>
      </c>
      <c r="J6" s="32" t="s">
        <v>36</v>
      </c>
      <c r="K6" s="32" t="s">
        <v>36</v>
      </c>
      <c r="L6" s="32" t="s">
        <v>36</v>
      </c>
      <c r="M6" s="32" t="s">
        <v>36</v>
      </c>
      <c r="N6" s="32" t="s">
        <v>36</v>
      </c>
      <c r="O6" s="32" t="s">
        <v>36</v>
      </c>
      <c r="P6" s="32" t="s">
        <v>36</v>
      </c>
      <c r="Q6" s="32" t="s">
        <v>36</v>
      </c>
      <c r="R6" s="32" t="s">
        <v>36</v>
      </c>
      <c r="S6" s="32" t="s">
        <v>36</v>
      </c>
      <c r="T6" s="32" t="s">
        <v>36</v>
      </c>
      <c r="U6" s="32" t="s">
        <v>36</v>
      </c>
      <c r="V6" s="32" t="s">
        <v>36</v>
      </c>
      <c r="W6" s="32" t="s">
        <v>36</v>
      </c>
      <c r="X6" s="32" t="s">
        <v>36</v>
      </c>
      <c r="Y6" s="6"/>
      <c r="Z6" s="33">
        <f t="shared" si="0"/>
        <v>0</v>
      </c>
      <c r="AA6" s="34">
        <f t="shared" si="1"/>
        <v>0</v>
      </c>
      <c r="AB6" s="37">
        <f t="shared" si="2"/>
        <v>0</v>
      </c>
      <c r="AC6" s="29">
        <f t="shared" si="3"/>
        <v>20</v>
      </c>
      <c r="AD6" s="36">
        <f t="shared" si="4"/>
        <v>1</v>
      </c>
    </row>
    <row r="7" spans="2:30" x14ac:dyDescent="0.25">
      <c r="B7" s="1"/>
      <c r="C7" s="30">
        <v>4</v>
      </c>
      <c r="D7" s="31" t="s">
        <v>5</v>
      </c>
      <c r="E7" s="32" t="s">
        <v>36</v>
      </c>
      <c r="F7" s="32" t="s">
        <v>38</v>
      </c>
      <c r="G7" s="32" t="s">
        <v>36</v>
      </c>
      <c r="H7" s="32" t="s">
        <v>39</v>
      </c>
      <c r="I7" s="32" t="s">
        <v>36</v>
      </c>
      <c r="J7" s="32" t="s">
        <v>38</v>
      </c>
      <c r="K7" s="32" t="s">
        <v>36</v>
      </c>
      <c r="L7" s="32" t="s">
        <v>39</v>
      </c>
      <c r="M7" s="32" t="s">
        <v>36</v>
      </c>
      <c r="N7" s="32" t="s">
        <v>38</v>
      </c>
      <c r="O7" s="32" t="s">
        <v>36</v>
      </c>
      <c r="P7" s="32" t="s">
        <v>39</v>
      </c>
      <c r="Q7" s="32" t="s">
        <v>36</v>
      </c>
      <c r="R7" s="32" t="s">
        <v>38</v>
      </c>
      <c r="S7" s="32" t="s">
        <v>36</v>
      </c>
      <c r="T7" s="32" t="s">
        <v>39</v>
      </c>
      <c r="U7" s="32" t="s">
        <v>36</v>
      </c>
      <c r="V7" s="32" t="s">
        <v>38</v>
      </c>
      <c r="W7" s="32" t="s">
        <v>36</v>
      </c>
      <c r="X7" s="32" t="s">
        <v>39</v>
      </c>
      <c r="Y7" s="6"/>
      <c r="Z7" s="29">
        <f t="shared" si="0"/>
        <v>5</v>
      </c>
      <c r="AA7" s="34">
        <f t="shared" si="1"/>
        <v>0</v>
      </c>
      <c r="AB7" s="35">
        <f t="shared" si="2"/>
        <v>5</v>
      </c>
      <c r="AC7" s="29">
        <f t="shared" si="3"/>
        <v>10</v>
      </c>
      <c r="AD7" s="36">
        <f t="shared" si="4"/>
        <v>0.5</v>
      </c>
    </row>
    <row r="8" spans="2:30" x14ac:dyDescent="0.25">
      <c r="B8" s="1"/>
      <c r="C8" s="30">
        <v>5</v>
      </c>
      <c r="D8" s="31" t="s">
        <v>6</v>
      </c>
      <c r="E8" s="32" t="s">
        <v>36</v>
      </c>
      <c r="F8" s="32" t="s">
        <v>39</v>
      </c>
      <c r="G8" s="32" t="s">
        <v>36</v>
      </c>
      <c r="H8" s="32" t="s">
        <v>36</v>
      </c>
      <c r="I8" s="32" t="s">
        <v>36</v>
      </c>
      <c r="J8" s="32" t="s">
        <v>39</v>
      </c>
      <c r="K8" s="32" t="s">
        <v>36</v>
      </c>
      <c r="L8" s="32" t="s">
        <v>36</v>
      </c>
      <c r="M8" s="32" t="s">
        <v>36</v>
      </c>
      <c r="N8" s="32" t="s">
        <v>39</v>
      </c>
      <c r="O8" s="32" t="s">
        <v>36</v>
      </c>
      <c r="P8" s="32" t="s">
        <v>36</v>
      </c>
      <c r="Q8" s="32" t="s">
        <v>36</v>
      </c>
      <c r="R8" s="32" t="s">
        <v>39</v>
      </c>
      <c r="S8" s="32" t="s">
        <v>36</v>
      </c>
      <c r="T8" s="32" t="s">
        <v>36</v>
      </c>
      <c r="U8" s="32" t="s">
        <v>36</v>
      </c>
      <c r="V8" s="32" t="s">
        <v>39</v>
      </c>
      <c r="W8" s="32" t="s">
        <v>36</v>
      </c>
      <c r="X8" s="32" t="s">
        <v>36</v>
      </c>
      <c r="Y8" s="6"/>
      <c r="Z8" s="33">
        <f t="shared" si="0"/>
        <v>0</v>
      </c>
      <c r="AA8" s="34">
        <f t="shared" si="1"/>
        <v>0</v>
      </c>
      <c r="AB8" s="35">
        <f t="shared" si="2"/>
        <v>5</v>
      </c>
      <c r="AC8" s="29">
        <f t="shared" si="3"/>
        <v>15</v>
      </c>
      <c r="AD8" s="36">
        <f t="shared" si="4"/>
        <v>0.75</v>
      </c>
    </row>
    <row r="9" spans="2:30" x14ac:dyDescent="0.25">
      <c r="B9" s="1"/>
      <c r="C9" s="30">
        <v>6</v>
      </c>
      <c r="D9" s="31" t="s">
        <v>7</v>
      </c>
      <c r="E9" s="32" t="s">
        <v>36</v>
      </c>
      <c r="F9" s="32" t="s">
        <v>37</v>
      </c>
      <c r="G9" s="32" t="s">
        <v>36</v>
      </c>
      <c r="H9" s="32" t="s">
        <v>36</v>
      </c>
      <c r="I9" s="32" t="s">
        <v>36</v>
      </c>
      <c r="J9" s="32" t="s">
        <v>37</v>
      </c>
      <c r="K9" s="32" t="s">
        <v>36</v>
      </c>
      <c r="L9" s="32" t="s">
        <v>36</v>
      </c>
      <c r="M9" s="32" t="s">
        <v>36</v>
      </c>
      <c r="N9" s="32" t="s">
        <v>37</v>
      </c>
      <c r="O9" s="32" t="s">
        <v>36</v>
      </c>
      <c r="P9" s="32" t="s">
        <v>36</v>
      </c>
      <c r="Q9" s="32" t="s">
        <v>36</v>
      </c>
      <c r="R9" s="32" t="s">
        <v>37</v>
      </c>
      <c r="S9" s="32" t="s">
        <v>36</v>
      </c>
      <c r="T9" s="32" t="s">
        <v>36</v>
      </c>
      <c r="U9" s="32" t="s">
        <v>36</v>
      </c>
      <c r="V9" s="32" t="s">
        <v>37</v>
      </c>
      <c r="W9" s="32" t="s">
        <v>36</v>
      </c>
      <c r="X9" s="32" t="s">
        <v>36</v>
      </c>
      <c r="Y9" s="6"/>
      <c r="Z9" s="33">
        <f t="shared" si="0"/>
        <v>0</v>
      </c>
      <c r="AA9" s="34">
        <f t="shared" si="1"/>
        <v>5</v>
      </c>
      <c r="AB9" s="37">
        <f t="shared" si="2"/>
        <v>0</v>
      </c>
      <c r="AC9" s="29">
        <f t="shared" si="3"/>
        <v>15</v>
      </c>
      <c r="AD9" s="36">
        <f t="shared" si="4"/>
        <v>0.75</v>
      </c>
    </row>
    <row r="10" spans="2:30" x14ac:dyDescent="0.25">
      <c r="B10" s="1"/>
      <c r="C10" s="30">
        <v>7</v>
      </c>
      <c r="D10" s="31" t="s">
        <v>8</v>
      </c>
      <c r="E10" s="32" t="s">
        <v>39</v>
      </c>
      <c r="F10" s="32" t="s">
        <v>36</v>
      </c>
      <c r="G10" s="32" t="s">
        <v>37</v>
      </c>
      <c r="H10" s="32" t="s">
        <v>36</v>
      </c>
      <c r="I10" s="32" t="s">
        <v>39</v>
      </c>
      <c r="J10" s="32" t="s">
        <v>36</v>
      </c>
      <c r="K10" s="32" t="s">
        <v>37</v>
      </c>
      <c r="L10" s="32" t="s">
        <v>36</v>
      </c>
      <c r="M10" s="32" t="s">
        <v>39</v>
      </c>
      <c r="N10" s="32" t="s">
        <v>36</v>
      </c>
      <c r="O10" s="32" t="s">
        <v>37</v>
      </c>
      <c r="P10" s="32" t="s">
        <v>36</v>
      </c>
      <c r="Q10" s="32" t="s">
        <v>39</v>
      </c>
      <c r="R10" s="32" t="s">
        <v>36</v>
      </c>
      <c r="S10" s="32" t="s">
        <v>37</v>
      </c>
      <c r="T10" s="32" t="s">
        <v>36</v>
      </c>
      <c r="U10" s="32" t="s">
        <v>39</v>
      </c>
      <c r="V10" s="32" t="s">
        <v>36</v>
      </c>
      <c r="W10" s="32" t="s">
        <v>37</v>
      </c>
      <c r="X10" s="32" t="s">
        <v>36</v>
      </c>
      <c r="Y10" s="6"/>
      <c r="Z10" s="33">
        <f t="shared" si="0"/>
        <v>0</v>
      </c>
      <c r="AA10" s="34">
        <f t="shared" si="1"/>
        <v>5</v>
      </c>
      <c r="AB10" s="35">
        <f t="shared" si="2"/>
        <v>5</v>
      </c>
      <c r="AC10" s="29">
        <f t="shared" si="3"/>
        <v>10</v>
      </c>
      <c r="AD10" s="36">
        <f t="shared" si="4"/>
        <v>0.5</v>
      </c>
    </row>
    <row r="11" spans="2:30" x14ac:dyDescent="0.25">
      <c r="B11" s="1"/>
      <c r="C11" s="30">
        <v>8</v>
      </c>
      <c r="D11" s="31" t="s">
        <v>9</v>
      </c>
      <c r="E11" s="32" t="s">
        <v>38</v>
      </c>
      <c r="F11" s="32" t="s">
        <v>36</v>
      </c>
      <c r="G11" s="32" t="s">
        <v>39</v>
      </c>
      <c r="H11" s="32" t="s">
        <v>36</v>
      </c>
      <c r="I11" s="32" t="s">
        <v>38</v>
      </c>
      <c r="J11" s="32" t="s">
        <v>36</v>
      </c>
      <c r="K11" s="32" t="s">
        <v>39</v>
      </c>
      <c r="L11" s="32" t="s">
        <v>36</v>
      </c>
      <c r="M11" s="32" t="s">
        <v>38</v>
      </c>
      <c r="N11" s="32" t="s">
        <v>36</v>
      </c>
      <c r="O11" s="32" t="s">
        <v>39</v>
      </c>
      <c r="P11" s="32" t="s">
        <v>36</v>
      </c>
      <c r="Q11" s="32" t="s">
        <v>38</v>
      </c>
      <c r="R11" s="32" t="s">
        <v>36</v>
      </c>
      <c r="S11" s="32" t="s">
        <v>39</v>
      </c>
      <c r="T11" s="32" t="s">
        <v>36</v>
      </c>
      <c r="U11" s="32" t="s">
        <v>38</v>
      </c>
      <c r="V11" s="32" t="s">
        <v>36</v>
      </c>
      <c r="W11" s="32" t="s">
        <v>39</v>
      </c>
      <c r="X11" s="32" t="s">
        <v>36</v>
      </c>
      <c r="Y11" s="6"/>
      <c r="Z11" s="29">
        <f t="shared" si="0"/>
        <v>5</v>
      </c>
      <c r="AA11" s="34">
        <f t="shared" si="1"/>
        <v>0</v>
      </c>
      <c r="AB11" s="35">
        <f t="shared" si="2"/>
        <v>5</v>
      </c>
      <c r="AC11" s="29">
        <f t="shared" si="3"/>
        <v>10</v>
      </c>
      <c r="AD11" s="36">
        <f t="shared" si="4"/>
        <v>0.5</v>
      </c>
    </row>
    <row r="12" spans="2:30" x14ac:dyDescent="0.25">
      <c r="B12" s="1"/>
      <c r="C12" s="30">
        <v>9</v>
      </c>
      <c r="D12" s="31" t="s">
        <v>10</v>
      </c>
      <c r="E12" s="32" t="s">
        <v>37</v>
      </c>
      <c r="F12" s="32" t="s">
        <v>36</v>
      </c>
      <c r="G12" s="32" t="s">
        <v>36</v>
      </c>
      <c r="H12" s="32" t="s">
        <v>36</v>
      </c>
      <c r="I12" s="32" t="s">
        <v>37</v>
      </c>
      <c r="J12" s="32" t="s">
        <v>36</v>
      </c>
      <c r="K12" s="32" t="s">
        <v>36</v>
      </c>
      <c r="L12" s="32" t="s">
        <v>36</v>
      </c>
      <c r="M12" s="32" t="s">
        <v>37</v>
      </c>
      <c r="N12" s="32" t="s">
        <v>36</v>
      </c>
      <c r="O12" s="32" t="s">
        <v>36</v>
      </c>
      <c r="P12" s="32" t="s">
        <v>36</v>
      </c>
      <c r="Q12" s="32" t="s">
        <v>37</v>
      </c>
      <c r="R12" s="32" t="s">
        <v>36</v>
      </c>
      <c r="S12" s="32" t="s">
        <v>36</v>
      </c>
      <c r="T12" s="32" t="s">
        <v>36</v>
      </c>
      <c r="U12" s="32" t="s">
        <v>37</v>
      </c>
      <c r="V12" s="32" t="s">
        <v>36</v>
      </c>
      <c r="W12" s="32" t="s">
        <v>36</v>
      </c>
      <c r="X12" s="32" t="s">
        <v>36</v>
      </c>
      <c r="Y12" s="6"/>
      <c r="Z12" s="33">
        <f t="shared" si="0"/>
        <v>0</v>
      </c>
      <c r="AA12" s="34">
        <f t="shared" si="1"/>
        <v>5</v>
      </c>
      <c r="AB12" s="37">
        <f t="shared" si="2"/>
        <v>0</v>
      </c>
      <c r="AC12" s="29">
        <f t="shared" si="3"/>
        <v>15</v>
      </c>
      <c r="AD12" s="36">
        <f t="shared" si="4"/>
        <v>0.75</v>
      </c>
    </row>
    <row r="13" spans="2:30" x14ac:dyDescent="0.25">
      <c r="B13" s="1"/>
      <c r="C13" s="30">
        <v>10</v>
      </c>
      <c r="D13" s="31" t="s">
        <v>11</v>
      </c>
      <c r="E13" s="32" t="s">
        <v>39</v>
      </c>
      <c r="F13" s="32" t="s">
        <v>39</v>
      </c>
      <c r="G13" s="32" t="s">
        <v>36</v>
      </c>
      <c r="H13" s="32" t="s">
        <v>36</v>
      </c>
      <c r="I13" s="32" t="s">
        <v>39</v>
      </c>
      <c r="J13" s="32" t="s">
        <v>39</v>
      </c>
      <c r="K13" s="32" t="s">
        <v>36</v>
      </c>
      <c r="L13" s="32" t="s">
        <v>36</v>
      </c>
      <c r="M13" s="32" t="s">
        <v>39</v>
      </c>
      <c r="N13" s="32" t="s">
        <v>39</v>
      </c>
      <c r="O13" s="32" t="s">
        <v>36</v>
      </c>
      <c r="P13" s="32" t="s">
        <v>36</v>
      </c>
      <c r="Q13" s="32" t="s">
        <v>39</v>
      </c>
      <c r="R13" s="32" t="s">
        <v>39</v>
      </c>
      <c r="S13" s="32" t="s">
        <v>36</v>
      </c>
      <c r="T13" s="32" t="s">
        <v>36</v>
      </c>
      <c r="U13" s="32" t="s">
        <v>39</v>
      </c>
      <c r="V13" s="32" t="s">
        <v>39</v>
      </c>
      <c r="W13" s="32" t="s">
        <v>36</v>
      </c>
      <c r="X13" s="32" t="s">
        <v>36</v>
      </c>
      <c r="Y13" s="6"/>
      <c r="Z13" s="33">
        <f t="shared" si="0"/>
        <v>0</v>
      </c>
      <c r="AA13" s="34">
        <f t="shared" si="1"/>
        <v>0</v>
      </c>
      <c r="AB13" s="35">
        <f t="shared" si="2"/>
        <v>10</v>
      </c>
      <c r="AC13" s="29">
        <f t="shared" si="3"/>
        <v>10</v>
      </c>
      <c r="AD13" s="36">
        <f t="shared" si="4"/>
        <v>0.5</v>
      </c>
    </row>
    <row r="14" spans="2:30" x14ac:dyDescent="0.25">
      <c r="B14" s="1"/>
      <c r="C14" s="30">
        <v>11</v>
      </c>
      <c r="D14" s="31" t="s">
        <v>12</v>
      </c>
      <c r="E14" s="32" t="s">
        <v>36</v>
      </c>
      <c r="F14" s="32" t="s">
        <v>39</v>
      </c>
      <c r="G14" s="32" t="s">
        <v>36</v>
      </c>
      <c r="H14" s="32" t="s">
        <v>36</v>
      </c>
      <c r="I14" s="32" t="s">
        <v>36</v>
      </c>
      <c r="J14" s="32" t="s">
        <v>39</v>
      </c>
      <c r="K14" s="32" t="s">
        <v>36</v>
      </c>
      <c r="L14" s="32" t="s">
        <v>36</v>
      </c>
      <c r="M14" s="32" t="s">
        <v>36</v>
      </c>
      <c r="N14" s="32" t="s">
        <v>39</v>
      </c>
      <c r="O14" s="32" t="s">
        <v>36</v>
      </c>
      <c r="P14" s="32" t="s">
        <v>36</v>
      </c>
      <c r="Q14" s="32" t="s">
        <v>36</v>
      </c>
      <c r="R14" s="32" t="s">
        <v>39</v>
      </c>
      <c r="S14" s="32" t="s">
        <v>36</v>
      </c>
      <c r="T14" s="32" t="s">
        <v>36</v>
      </c>
      <c r="U14" s="32" t="s">
        <v>36</v>
      </c>
      <c r="V14" s="32" t="s">
        <v>39</v>
      </c>
      <c r="W14" s="32" t="s">
        <v>36</v>
      </c>
      <c r="X14" s="32" t="s">
        <v>36</v>
      </c>
      <c r="Y14" s="6"/>
      <c r="Z14" s="33">
        <f t="shared" si="0"/>
        <v>0</v>
      </c>
      <c r="AA14" s="34">
        <f t="shared" si="1"/>
        <v>0</v>
      </c>
      <c r="AB14" s="35">
        <f t="shared" si="2"/>
        <v>5</v>
      </c>
      <c r="AC14" s="29">
        <f t="shared" si="3"/>
        <v>15</v>
      </c>
      <c r="AD14" s="36">
        <f t="shared" si="4"/>
        <v>0.75</v>
      </c>
    </row>
    <row r="15" spans="2:30" x14ac:dyDescent="0.25">
      <c r="B15" s="1"/>
      <c r="C15" s="30">
        <v>12</v>
      </c>
      <c r="D15" s="31" t="s">
        <v>13</v>
      </c>
      <c r="E15" s="32" t="s">
        <v>36</v>
      </c>
      <c r="F15" s="32" t="s">
        <v>37</v>
      </c>
      <c r="G15" s="32" t="s">
        <v>36</v>
      </c>
      <c r="H15" s="32" t="s">
        <v>36</v>
      </c>
      <c r="I15" s="32" t="s">
        <v>36</v>
      </c>
      <c r="J15" s="32" t="s">
        <v>37</v>
      </c>
      <c r="K15" s="32" t="s">
        <v>36</v>
      </c>
      <c r="L15" s="32" t="s">
        <v>36</v>
      </c>
      <c r="M15" s="32" t="s">
        <v>36</v>
      </c>
      <c r="N15" s="32" t="s">
        <v>37</v>
      </c>
      <c r="O15" s="32" t="s">
        <v>36</v>
      </c>
      <c r="P15" s="32" t="s">
        <v>36</v>
      </c>
      <c r="Q15" s="32" t="s">
        <v>36</v>
      </c>
      <c r="R15" s="32" t="s">
        <v>37</v>
      </c>
      <c r="S15" s="32" t="s">
        <v>36</v>
      </c>
      <c r="T15" s="32" t="s">
        <v>36</v>
      </c>
      <c r="U15" s="32" t="s">
        <v>36</v>
      </c>
      <c r="V15" s="32" t="s">
        <v>37</v>
      </c>
      <c r="W15" s="32" t="s">
        <v>36</v>
      </c>
      <c r="X15" s="32" t="s">
        <v>36</v>
      </c>
      <c r="Y15" s="6"/>
      <c r="Z15" s="33">
        <f t="shared" si="0"/>
        <v>0</v>
      </c>
      <c r="AA15" s="38">
        <f t="shared" ref="AA5:AA36" si="5">COUNTIF(E15:X15, "i")</f>
        <v>5</v>
      </c>
      <c r="AB15" s="37">
        <f t="shared" si="2"/>
        <v>0</v>
      </c>
      <c r="AC15" s="29">
        <f t="shared" si="3"/>
        <v>15</v>
      </c>
      <c r="AD15" s="36">
        <f t="shared" si="4"/>
        <v>0.75</v>
      </c>
    </row>
    <row r="16" spans="2:30" x14ac:dyDescent="0.25">
      <c r="B16" s="1"/>
      <c r="C16" s="30">
        <v>13</v>
      </c>
      <c r="D16" s="31" t="s">
        <v>14</v>
      </c>
      <c r="E16" s="32" t="s">
        <v>36</v>
      </c>
      <c r="F16" s="32" t="s">
        <v>36</v>
      </c>
      <c r="G16" s="32" t="s">
        <v>36</v>
      </c>
      <c r="H16" s="32" t="s">
        <v>39</v>
      </c>
      <c r="I16" s="32" t="s">
        <v>36</v>
      </c>
      <c r="J16" s="32" t="s">
        <v>36</v>
      </c>
      <c r="K16" s="32" t="s">
        <v>36</v>
      </c>
      <c r="L16" s="32" t="s">
        <v>39</v>
      </c>
      <c r="M16" s="32" t="s">
        <v>36</v>
      </c>
      <c r="N16" s="32" t="s">
        <v>36</v>
      </c>
      <c r="O16" s="32" t="s">
        <v>36</v>
      </c>
      <c r="P16" s="32" t="s">
        <v>39</v>
      </c>
      <c r="Q16" s="32" t="s">
        <v>36</v>
      </c>
      <c r="R16" s="32" t="s">
        <v>36</v>
      </c>
      <c r="S16" s="32" t="s">
        <v>36</v>
      </c>
      <c r="T16" s="32" t="s">
        <v>39</v>
      </c>
      <c r="U16" s="32" t="s">
        <v>36</v>
      </c>
      <c r="V16" s="32" t="s">
        <v>36</v>
      </c>
      <c r="W16" s="32" t="s">
        <v>36</v>
      </c>
      <c r="X16" s="32" t="s">
        <v>39</v>
      </c>
      <c r="Y16" s="6"/>
      <c r="Z16" s="33">
        <f t="shared" si="0"/>
        <v>0</v>
      </c>
      <c r="AA16" s="34">
        <f t="shared" si="5"/>
        <v>0</v>
      </c>
      <c r="AB16" s="35">
        <f t="shared" si="2"/>
        <v>5</v>
      </c>
      <c r="AC16" s="29">
        <f t="shared" si="3"/>
        <v>15</v>
      </c>
      <c r="AD16" s="36">
        <f t="shared" si="4"/>
        <v>0.75</v>
      </c>
    </row>
    <row r="17" spans="2:30" x14ac:dyDescent="0.25">
      <c r="B17" s="1"/>
      <c r="C17" s="30">
        <v>14</v>
      </c>
      <c r="D17" s="31" t="s">
        <v>15</v>
      </c>
      <c r="E17" s="32" t="s">
        <v>36</v>
      </c>
      <c r="F17" s="32" t="s">
        <v>36</v>
      </c>
      <c r="G17" s="32" t="s">
        <v>36</v>
      </c>
      <c r="H17" s="32" t="s">
        <v>36</v>
      </c>
      <c r="I17" s="32" t="s">
        <v>36</v>
      </c>
      <c r="J17" s="32" t="s">
        <v>36</v>
      </c>
      <c r="K17" s="32" t="s">
        <v>36</v>
      </c>
      <c r="L17" s="32" t="s">
        <v>36</v>
      </c>
      <c r="M17" s="32" t="s">
        <v>36</v>
      </c>
      <c r="N17" s="32" t="s">
        <v>36</v>
      </c>
      <c r="O17" s="32" t="s">
        <v>36</v>
      </c>
      <c r="P17" s="32" t="s">
        <v>36</v>
      </c>
      <c r="Q17" s="32" t="s">
        <v>36</v>
      </c>
      <c r="R17" s="32" t="s">
        <v>36</v>
      </c>
      <c r="S17" s="32" t="s">
        <v>36</v>
      </c>
      <c r="T17" s="32" t="s">
        <v>36</v>
      </c>
      <c r="U17" s="32" t="s">
        <v>36</v>
      </c>
      <c r="V17" s="32" t="s">
        <v>36</v>
      </c>
      <c r="W17" s="32" t="s">
        <v>36</v>
      </c>
      <c r="X17" s="32" t="s">
        <v>36</v>
      </c>
      <c r="Y17" s="6"/>
      <c r="Z17" s="33">
        <f t="shared" si="0"/>
        <v>0</v>
      </c>
      <c r="AA17" s="34">
        <f t="shared" si="5"/>
        <v>0</v>
      </c>
      <c r="AB17" s="37">
        <f t="shared" si="2"/>
        <v>0</v>
      </c>
      <c r="AC17" s="29">
        <f t="shared" si="3"/>
        <v>20</v>
      </c>
      <c r="AD17" s="36">
        <f t="shared" si="4"/>
        <v>1</v>
      </c>
    </row>
    <row r="18" spans="2:30" x14ac:dyDescent="0.25">
      <c r="B18" s="1"/>
      <c r="C18" s="30">
        <v>15</v>
      </c>
      <c r="D18" s="31" t="s">
        <v>16</v>
      </c>
      <c r="E18" s="32" t="s">
        <v>36</v>
      </c>
      <c r="F18" s="32" t="s">
        <v>36</v>
      </c>
      <c r="G18" s="32" t="s">
        <v>36</v>
      </c>
      <c r="H18" s="32" t="s">
        <v>36</v>
      </c>
      <c r="I18" s="32" t="s">
        <v>36</v>
      </c>
      <c r="J18" s="32" t="s">
        <v>36</v>
      </c>
      <c r="K18" s="32" t="s">
        <v>36</v>
      </c>
      <c r="L18" s="32" t="s">
        <v>36</v>
      </c>
      <c r="M18" s="32" t="s">
        <v>36</v>
      </c>
      <c r="N18" s="32" t="s">
        <v>36</v>
      </c>
      <c r="O18" s="32" t="s">
        <v>36</v>
      </c>
      <c r="P18" s="32" t="s">
        <v>36</v>
      </c>
      <c r="Q18" s="32" t="s">
        <v>36</v>
      </c>
      <c r="R18" s="32" t="s">
        <v>36</v>
      </c>
      <c r="S18" s="32" t="s">
        <v>36</v>
      </c>
      <c r="T18" s="32" t="s">
        <v>36</v>
      </c>
      <c r="U18" s="32" t="s">
        <v>36</v>
      </c>
      <c r="V18" s="32" t="s">
        <v>36</v>
      </c>
      <c r="W18" s="32" t="s">
        <v>36</v>
      </c>
      <c r="X18" s="32" t="s">
        <v>36</v>
      </c>
      <c r="Y18" s="6"/>
      <c r="Z18" s="33">
        <f t="shared" si="0"/>
        <v>0</v>
      </c>
      <c r="AA18" s="34">
        <f t="shared" si="5"/>
        <v>0</v>
      </c>
      <c r="AB18" s="37">
        <f t="shared" si="2"/>
        <v>0</v>
      </c>
      <c r="AC18" s="29">
        <f t="shared" si="3"/>
        <v>20</v>
      </c>
      <c r="AD18" s="36">
        <f t="shared" si="4"/>
        <v>1</v>
      </c>
    </row>
    <row r="19" spans="2:30" x14ac:dyDescent="0.25">
      <c r="B19" s="1"/>
      <c r="C19" s="30">
        <v>16</v>
      </c>
      <c r="D19" s="31" t="s">
        <v>17</v>
      </c>
      <c r="E19" s="32" t="s">
        <v>36</v>
      </c>
      <c r="F19" s="32" t="s">
        <v>36</v>
      </c>
      <c r="G19" s="32" t="s">
        <v>36</v>
      </c>
      <c r="H19" s="32" t="s">
        <v>36</v>
      </c>
      <c r="I19" s="32" t="s">
        <v>36</v>
      </c>
      <c r="J19" s="32" t="s">
        <v>36</v>
      </c>
      <c r="K19" s="32" t="s">
        <v>36</v>
      </c>
      <c r="L19" s="32" t="s">
        <v>36</v>
      </c>
      <c r="M19" s="32" t="s">
        <v>36</v>
      </c>
      <c r="N19" s="32" t="s">
        <v>36</v>
      </c>
      <c r="O19" s="32" t="s">
        <v>36</v>
      </c>
      <c r="P19" s="32" t="s">
        <v>36</v>
      </c>
      <c r="Q19" s="32" t="s">
        <v>36</v>
      </c>
      <c r="R19" s="32" t="s">
        <v>36</v>
      </c>
      <c r="S19" s="32" t="s">
        <v>36</v>
      </c>
      <c r="T19" s="32" t="s">
        <v>36</v>
      </c>
      <c r="U19" s="32" t="s">
        <v>36</v>
      </c>
      <c r="V19" s="32" t="s">
        <v>36</v>
      </c>
      <c r="W19" s="32" t="s">
        <v>36</v>
      </c>
      <c r="X19" s="32" t="s">
        <v>36</v>
      </c>
      <c r="Y19" s="6"/>
      <c r="Z19" s="33">
        <f t="shared" si="0"/>
        <v>0</v>
      </c>
      <c r="AA19" s="34">
        <f t="shared" si="5"/>
        <v>0</v>
      </c>
      <c r="AB19" s="37">
        <f t="shared" si="2"/>
        <v>0</v>
      </c>
      <c r="AC19" s="29">
        <f t="shared" si="3"/>
        <v>20</v>
      </c>
      <c r="AD19" s="36">
        <f t="shared" si="4"/>
        <v>1</v>
      </c>
    </row>
    <row r="20" spans="2:30" x14ac:dyDescent="0.25">
      <c r="B20" s="1"/>
      <c r="C20" s="30">
        <v>17</v>
      </c>
      <c r="D20" s="31" t="s">
        <v>18</v>
      </c>
      <c r="E20" s="32" t="s">
        <v>36</v>
      </c>
      <c r="F20" s="32" t="s">
        <v>37</v>
      </c>
      <c r="G20" s="32" t="s">
        <v>36</v>
      </c>
      <c r="H20" s="32" t="s">
        <v>36</v>
      </c>
      <c r="I20" s="32" t="s">
        <v>36</v>
      </c>
      <c r="J20" s="32" t="s">
        <v>37</v>
      </c>
      <c r="K20" s="32" t="s">
        <v>36</v>
      </c>
      <c r="L20" s="32" t="s">
        <v>36</v>
      </c>
      <c r="M20" s="32" t="s">
        <v>36</v>
      </c>
      <c r="N20" s="32" t="s">
        <v>37</v>
      </c>
      <c r="O20" s="32" t="s">
        <v>36</v>
      </c>
      <c r="P20" s="32" t="s">
        <v>36</v>
      </c>
      <c r="Q20" s="32" t="s">
        <v>36</v>
      </c>
      <c r="R20" s="32" t="s">
        <v>37</v>
      </c>
      <c r="S20" s="32" t="s">
        <v>36</v>
      </c>
      <c r="T20" s="32" t="s">
        <v>36</v>
      </c>
      <c r="U20" s="32" t="s">
        <v>36</v>
      </c>
      <c r="V20" s="32" t="s">
        <v>37</v>
      </c>
      <c r="W20" s="32" t="s">
        <v>36</v>
      </c>
      <c r="X20" s="32" t="s">
        <v>36</v>
      </c>
      <c r="Y20" s="6"/>
      <c r="Z20" s="33">
        <f t="shared" si="0"/>
        <v>0</v>
      </c>
      <c r="AA20" s="34">
        <f t="shared" si="5"/>
        <v>5</v>
      </c>
      <c r="AB20" s="37">
        <f t="shared" si="2"/>
        <v>0</v>
      </c>
      <c r="AC20" s="29">
        <f t="shared" si="3"/>
        <v>15</v>
      </c>
      <c r="AD20" s="36">
        <f t="shared" si="4"/>
        <v>0.75</v>
      </c>
    </row>
    <row r="21" spans="2:30" x14ac:dyDescent="0.25">
      <c r="B21" s="1"/>
      <c r="C21" s="30">
        <v>18</v>
      </c>
      <c r="D21" s="31" t="s">
        <v>19</v>
      </c>
      <c r="E21" s="32" t="s">
        <v>36</v>
      </c>
      <c r="F21" s="32" t="s">
        <v>36</v>
      </c>
      <c r="G21" s="32" t="s">
        <v>36</v>
      </c>
      <c r="H21" s="32" t="s">
        <v>36</v>
      </c>
      <c r="I21" s="32" t="s">
        <v>36</v>
      </c>
      <c r="J21" s="32" t="s">
        <v>36</v>
      </c>
      <c r="K21" s="32" t="s">
        <v>36</v>
      </c>
      <c r="L21" s="32" t="s">
        <v>36</v>
      </c>
      <c r="M21" s="32" t="s">
        <v>36</v>
      </c>
      <c r="N21" s="32" t="s">
        <v>36</v>
      </c>
      <c r="O21" s="32" t="s">
        <v>36</v>
      </c>
      <c r="P21" s="32" t="s">
        <v>36</v>
      </c>
      <c r="Q21" s="32" t="s">
        <v>36</v>
      </c>
      <c r="R21" s="32" t="s">
        <v>36</v>
      </c>
      <c r="S21" s="32" t="s">
        <v>36</v>
      </c>
      <c r="T21" s="32" t="s">
        <v>36</v>
      </c>
      <c r="U21" s="32" t="s">
        <v>36</v>
      </c>
      <c r="V21" s="32" t="s">
        <v>36</v>
      </c>
      <c r="W21" s="32" t="s">
        <v>36</v>
      </c>
      <c r="X21" s="32" t="s">
        <v>36</v>
      </c>
      <c r="Y21" s="6"/>
      <c r="Z21" s="33">
        <f t="shared" si="0"/>
        <v>0</v>
      </c>
      <c r="AA21" s="34">
        <f t="shared" si="5"/>
        <v>0</v>
      </c>
      <c r="AB21" s="37">
        <f t="shared" si="2"/>
        <v>0</v>
      </c>
      <c r="AC21" s="29">
        <f t="shared" si="3"/>
        <v>20</v>
      </c>
      <c r="AD21" s="36">
        <f t="shared" si="4"/>
        <v>1</v>
      </c>
    </row>
    <row r="22" spans="2:30" x14ac:dyDescent="0.25">
      <c r="B22" s="1"/>
      <c r="C22" s="30">
        <v>19</v>
      </c>
      <c r="D22" s="31" t="s">
        <v>20</v>
      </c>
      <c r="E22" s="32" t="s">
        <v>36</v>
      </c>
      <c r="F22" s="32" t="s">
        <v>36</v>
      </c>
      <c r="G22" s="32" t="s">
        <v>36</v>
      </c>
      <c r="H22" s="32" t="s">
        <v>36</v>
      </c>
      <c r="I22" s="32" t="s">
        <v>36</v>
      </c>
      <c r="J22" s="32" t="s">
        <v>36</v>
      </c>
      <c r="K22" s="32" t="s">
        <v>36</v>
      </c>
      <c r="L22" s="32" t="s">
        <v>36</v>
      </c>
      <c r="M22" s="32" t="s">
        <v>36</v>
      </c>
      <c r="N22" s="32" t="s">
        <v>36</v>
      </c>
      <c r="O22" s="32" t="s">
        <v>36</v>
      </c>
      <c r="P22" s="32" t="s">
        <v>36</v>
      </c>
      <c r="Q22" s="32" t="s">
        <v>36</v>
      </c>
      <c r="R22" s="32" t="s">
        <v>36</v>
      </c>
      <c r="S22" s="32" t="s">
        <v>36</v>
      </c>
      <c r="T22" s="32" t="s">
        <v>36</v>
      </c>
      <c r="U22" s="32" t="s">
        <v>36</v>
      </c>
      <c r="V22" s="32" t="s">
        <v>36</v>
      </c>
      <c r="W22" s="32" t="s">
        <v>36</v>
      </c>
      <c r="X22" s="32" t="s">
        <v>36</v>
      </c>
      <c r="Y22" s="6"/>
      <c r="Z22" s="33">
        <f t="shared" si="0"/>
        <v>0</v>
      </c>
      <c r="AA22" s="34">
        <f t="shared" si="5"/>
        <v>0</v>
      </c>
      <c r="AB22" s="37">
        <f t="shared" si="2"/>
        <v>0</v>
      </c>
      <c r="AC22" s="29">
        <f t="shared" si="3"/>
        <v>20</v>
      </c>
      <c r="AD22" s="36">
        <f t="shared" si="4"/>
        <v>1</v>
      </c>
    </row>
    <row r="23" spans="2:30" x14ac:dyDescent="0.25">
      <c r="B23" s="1"/>
      <c r="C23" s="30">
        <v>20</v>
      </c>
      <c r="D23" s="31" t="s">
        <v>21</v>
      </c>
      <c r="E23" s="32" t="s">
        <v>36</v>
      </c>
      <c r="F23" s="32" t="s">
        <v>36</v>
      </c>
      <c r="G23" s="32" t="s">
        <v>36</v>
      </c>
      <c r="H23" s="32" t="s">
        <v>36</v>
      </c>
      <c r="I23" s="32" t="s">
        <v>36</v>
      </c>
      <c r="J23" s="32" t="s">
        <v>36</v>
      </c>
      <c r="K23" s="32" t="s">
        <v>36</v>
      </c>
      <c r="L23" s="32" t="s">
        <v>36</v>
      </c>
      <c r="M23" s="32" t="s">
        <v>36</v>
      </c>
      <c r="N23" s="32" t="s">
        <v>36</v>
      </c>
      <c r="O23" s="32" t="s">
        <v>36</v>
      </c>
      <c r="P23" s="32" t="s">
        <v>36</v>
      </c>
      <c r="Q23" s="32" t="s">
        <v>36</v>
      </c>
      <c r="R23" s="32" t="s">
        <v>36</v>
      </c>
      <c r="S23" s="32" t="s">
        <v>36</v>
      </c>
      <c r="T23" s="32" t="s">
        <v>36</v>
      </c>
      <c r="U23" s="32" t="s">
        <v>36</v>
      </c>
      <c r="V23" s="32" t="s">
        <v>36</v>
      </c>
      <c r="W23" s="32" t="s">
        <v>36</v>
      </c>
      <c r="X23" s="32" t="s">
        <v>36</v>
      </c>
      <c r="Y23" s="6"/>
      <c r="Z23" s="33">
        <f t="shared" si="0"/>
        <v>0</v>
      </c>
      <c r="AA23" s="34">
        <f t="shared" si="5"/>
        <v>0</v>
      </c>
      <c r="AB23" s="37">
        <f t="shared" si="2"/>
        <v>0</v>
      </c>
      <c r="AC23" s="29">
        <f t="shared" si="3"/>
        <v>20</v>
      </c>
      <c r="AD23" s="36">
        <f t="shared" si="4"/>
        <v>1</v>
      </c>
    </row>
    <row r="24" spans="2:30" x14ac:dyDescent="0.25">
      <c r="B24" s="1"/>
      <c r="C24" s="30">
        <v>21</v>
      </c>
      <c r="D24" s="31" t="s">
        <v>22</v>
      </c>
      <c r="E24" s="32" t="s">
        <v>36</v>
      </c>
      <c r="F24" s="32" t="s">
        <v>36</v>
      </c>
      <c r="G24" s="32" t="s">
        <v>39</v>
      </c>
      <c r="H24" s="32" t="s">
        <v>36</v>
      </c>
      <c r="I24" s="32" t="s">
        <v>36</v>
      </c>
      <c r="J24" s="32" t="s">
        <v>36</v>
      </c>
      <c r="K24" s="32" t="s">
        <v>39</v>
      </c>
      <c r="L24" s="32" t="s">
        <v>36</v>
      </c>
      <c r="M24" s="32" t="s">
        <v>36</v>
      </c>
      <c r="N24" s="32" t="s">
        <v>36</v>
      </c>
      <c r="O24" s="32" t="s">
        <v>39</v>
      </c>
      <c r="P24" s="32" t="s">
        <v>36</v>
      </c>
      <c r="Q24" s="32" t="s">
        <v>36</v>
      </c>
      <c r="R24" s="32" t="s">
        <v>36</v>
      </c>
      <c r="S24" s="32" t="s">
        <v>39</v>
      </c>
      <c r="T24" s="32" t="s">
        <v>36</v>
      </c>
      <c r="U24" s="32" t="s">
        <v>36</v>
      </c>
      <c r="V24" s="32" t="s">
        <v>36</v>
      </c>
      <c r="W24" s="32" t="s">
        <v>39</v>
      </c>
      <c r="X24" s="32" t="s">
        <v>36</v>
      </c>
      <c r="Y24" s="6"/>
      <c r="Z24" s="33">
        <f t="shared" si="0"/>
        <v>0</v>
      </c>
      <c r="AA24" s="34">
        <f t="shared" si="5"/>
        <v>0</v>
      </c>
      <c r="AB24" s="35">
        <f t="shared" si="2"/>
        <v>5</v>
      </c>
      <c r="AC24" s="29">
        <f t="shared" si="3"/>
        <v>15</v>
      </c>
      <c r="AD24" s="36">
        <f t="shared" si="4"/>
        <v>0.75</v>
      </c>
    </row>
    <row r="25" spans="2:30" x14ac:dyDescent="0.25">
      <c r="B25" s="1"/>
      <c r="C25" s="30">
        <v>22</v>
      </c>
      <c r="D25" s="31" t="s">
        <v>23</v>
      </c>
      <c r="E25" s="32" t="s">
        <v>36</v>
      </c>
      <c r="F25" s="32" t="s">
        <v>36</v>
      </c>
      <c r="G25" s="32" t="s">
        <v>36</v>
      </c>
      <c r="H25" s="32" t="s">
        <v>36</v>
      </c>
      <c r="I25" s="32" t="s">
        <v>36</v>
      </c>
      <c r="J25" s="32" t="s">
        <v>36</v>
      </c>
      <c r="K25" s="32" t="s">
        <v>36</v>
      </c>
      <c r="L25" s="32" t="s">
        <v>36</v>
      </c>
      <c r="M25" s="32" t="s">
        <v>36</v>
      </c>
      <c r="N25" s="32" t="s">
        <v>36</v>
      </c>
      <c r="O25" s="32" t="s">
        <v>36</v>
      </c>
      <c r="P25" s="32" t="s">
        <v>36</v>
      </c>
      <c r="Q25" s="32" t="s">
        <v>36</v>
      </c>
      <c r="R25" s="32" t="s">
        <v>36</v>
      </c>
      <c r="S25" s="32" t="s">
        <v>36</v>
      </c>
      <c r="T25" s="32" t="s">
        <v>36</v>
      </c>
      <c r="U25" s="32" t="s">
        <v>36</v>
      </c>
      <c r="V25" s="32" t="s">
        <v>36</v>
      </c>
      <c r="W25" s="32" t="s">
        <v>36</v>
      </c>
      <c r="X25" s="32" t="s">
        <v>36</v>
      </c>
      <c r="Y25" s="6"/>
      <c r="Z25" s="33">
        <f t="shared" si="0"/>
        <v>0</v>
      </c>
      <c r="AA25" s="34">
        <f t="shared" si="5"/>
        <v>0</v>
      </c>
      <c r="AB25" s="37">
        <f t="shared" si="2"/>
        <v>0</v>
      </c>
      <c r="AC25" s="29">
        <f t="shared" si="3"/>
        <v>20</v>
      </c>
      <c r="AD25" s="36">
        <f t="shared" si="4"/>
        <v>1</v>
      </c>
    </row>
    <row r="26" spans="2:30" x14ac:dyDescent="0.25">
      <c r="B26" s="1"/>
      <c r="C26" s="30">
        <v>23</v>
      </c>
      <c r="D26" s="31" t="s">
        <v>24</v>
      </c>
      <c r="E26" s="32" t="s">
        <v>37</v>
      </c>
      <c r="F26" s="32" t="s">
        <v>36</v>
      </c>
      <c r="G26" s="32" t="s">
        <v>36</v>
      </c>
      <c r="H26" s="32" t="s">
        <v>36</v>
      </c>
      <c r="I26" s="32" t="s">
        <v>37</v>
      </c>
      <c r="J26" s="32" t="s">
        <v>36</v>
      </c>
      <c r="K26" s="32" t="s">
        <v>36</v>
      </c>
      <c r="L26" s="32" t="s">
        <v>36</v>
      </c>
      <c r="M26" s="32" t="s">
        <v>37</v>
      </c>
      <c r="N26" s="32" t="s">
        <v>36</v>
      </c>
      <c r="O26" s="32" t="s">
        <v>36</v>
      </c>
      <c r="P26" s="32" t="s">
        <v>36</v>
      </c>
      <c r="Q26" s="32" t="s">
        <v>37</v>
      </c>
      <c r="R26" s="32" t="s">
        <v>36</v>
      </c>
      <c r="S26" s="32" t="s">
        <v>36</v>
      </c>
      <c r="T26" s="32" t="s">
        <v>36</v>
      </c>
      <c r="U26" s="32" t="s">
        <v>37</v>
      </c>
      <c r="V26" s="32" t="s">
        <v>36</v>
      </c>
      <c r="W26" s="32" t="s">
        <v>36</v>
      </c>
      <c r="X26" s="32" t="s">
        <v>36</v>
      </c>
      <c r="Y26" s="6"/>
      <c r="Z26" s="33">
        <f t="shared" si="0"/>
        <v>0</v>
      </c>
      <c r="AA26" s="38">
        <f t="shared" si="5"/>
        <v>5</v>
      </c>
      <c r="AB26" s="37">
        <f t="shared" si="2"/>
        <v>0</v>
      </c>
      <c r="AC26" s="29">
        <f t="shared" si="3"/>
        <v>15</v>
      </c>
      <c r="AD26" s="36">
        <f t="shared" si="4"/>
        <v>0.75</v>
      </c>
    </row>
    <row r="27" spans="2:30" x14ac:dyDescent="0.25">
      <c r="B27" s="1"/>
      <c r="C27" s="30">
        <v>24</v>
      </c>
      <c r="D27" s="31" t="s">
        <v>25</v>
      </c>
      <c r="E27" s="32" t="s">
        <v>36</v>
      </c>
      <c r="F27" s="32" t="s">
        <v>36</v>
      </c>
      <c r="G27" s="32" t="s">
        <v>36</v>
      </c>
      <c r="H27" s="32" t="s">
        <v>36</v>
      </c>
      <c r="I27" s="32" t="s">
        <v>36</v>
      </c>
      <c r="J27" s="32" t="s">
        <v>36</v>
      </c>
      <c r="K27" s="32" t="s">
        <v>36</v>
      </c>
      <c r="L27" s="32" t="s">
        <v>36</v>
      </c>
      <c r="M27" s="32" t="s">
        <v>36</v>
      </c>
      <c r="N27" s="32" t="s">
        <v>36</v>
      </c>
      <c r="O27" s="32" t="s">
        <v>36</v>
      </c>
      <c r="P27" s="32" t="s">
        <v>36</v>
      </c>
      <c r="Q27" s="32" t="s">
        <v>36</v>
      </c>
      <c r="R27" s="32" t="s">
        <v>36</v>
      </c>
      <c r="S27" s="32" t="s">
        <v>36</v>
      </c>
      <c r="T27" s="32" t="s">
        <v>36</v>
      </c>
      <c r="U27" s="32" t="s">
        <v>36</v>
      </c>
      <c r="V27" s="32" t="s">
        <v>36</v>
      </c>
      <c r="W27" s="32" t="s">
        <v>36</v>
      </c>
      <c r="X27" s="32" t="s">
        <v>36</v>
      </c>
      <c r="Y27" s="6"/>
      <c r="Z27" s="33">
        <f t="shared" si="0"/>
        <v>0</v>
      </c>
      <c r="AA27" s="34">
        <f t="shared" si="5"/>
        <v>0</v>
      </c>
      <c r="AB27" s="37">
        <f t="shared" si="2"/>
        <v>0</v>
      </c>
      <c r="AC27" s="29">
        <f t="shared" si="3"/>
        <v>20</v>
      </c>
      <c r="AD27" s="36">
        <f t="shared" si="4"/>
        <v>1</v>
      </c>
    </row>
    <row r="28" spans="2:30" x14ac:dyDescent="0.25">
      <c r="B28" s="1"/>
      <c r="C28" s="30">
        <v>25</v>
      </c>
      <c r="D28" s="31" t="s">
        <v>26</v>
      </c>
      <c r="E28" s="32" t="s">
        <v>36</v>
      </c>
      <c r="F28" s="32" t="s">
        <v>36</v>
      </c>
      <c r="G28" s="32" t="s">
        <v>36</v>
      </c>
      <c r="H28" s="32" t="s">
        <v>36</v>
      </c>
      <c r="I28" s="32" t="s">
        <v>36</v>
      </c>
      <c r="J28" s="32" t="s">
        <v>36</v>
      </c>
      <c r="K28" s="32" t="s">
        <v>36</v>
      </c>
      <c r="L28" s="32" t="s">
        <v>36</v>
      </c>
      <c r="M28" s="32" t="s">
        <v>36</v>
      </c>
      <c r="N28" s="32" t="s">
        <v>36</v>
      </c>
      <c r="O28" s="32" t="s">
        <v>36</v>
      </c>
      <c r="P28" s="32" t="s">
        <v>36</v>
      </c>
      <c r="Q28" s="32" t="s">
        <v>36</v>
      </c>
      <c r="R28" s="32" t="s">
        <v>36</v>
      </c>
      <c r="S28" s="32" t="s">
        <v>36</v>
      </c>
      <c r="T28" s="32" t="s">
        <v>36</v>
      </c>
      <c r="U28" s="32" t="s">
        <v>36</v>
      </c>
      <c r="V28" s="32" t="s">
        <v>36</v>
      </c>
      <c r="W28" s="32" t="s">
        <v>36</v>
      </c>
      <c r="X28" s="32" t="s">
        <v>36</v>
      </c>
      <c r="Y28" s="6"/>
      <c r="Z28" s="33">
        <f t="shared" si="0"/>
        <v>0</v>
      </c>
      <c r="AA28" s="34">
        <f t="shared" si="5"/>
        <v>0</v>
      </c>
      <c r="AB28" s="37">
        <f t="shared" si="2"/>
        <v>0</v>
      </c>
      <c r="AC28" s="29">
        <f t="shared" si="3"/>
        <v>20</v>
      </c>
      <c r="AD28" s="36">
        <f t="shared" si="4"/>
        <v>1</v>
      </c>
    </row>
    <row r="29" spans="2:30" x14ac:dyDescent="0.25">
      <c r="B29" s="1"/>
      <c r="C29" s="30">
        <v>26</v>
      </c>
      <c r="D29" s="31" t="s">
        <v>27</v>
      </c>
      <c r="E29" s="32" t="s">
        <v>36</v>
      </c>
      <c r="F29" s="32" t="s">
        <v>36</v>
      </c>
      <c r="G29" s="32" t="s">
        <v>36</v>
      </c>
      <c r="H29" s="32" t="s">
        <v>36</v>
      </c>
      <c r="I29" s="32" t="s">
        <v>36</v>
      </c>
      <c r="J29" s="32" t="s">
        <v>36</v>
      </c>
      <c r="K29" s="32" t="s">
        <v>36</v>
      </c>
      <c r="L29" s="32" t="s">
        <v>36</v>
      </c>
      <c r="M29" s="32" t="s">
        <v>36</v>
      </c>
      <c r="N29" s="32" t="s">
        <v>36</v>
      </c>
      <c r="O29" s="32" t="s">
        <v>36</v>
      </c>
      <c r="P29" s="32" t="s">
        <v>36</v>
      </c>
      <c r="Q29" s="32" t="s">
        <v>36</v>
      </c>
      <c r="R29" s="32" t="s">
        <v>36</v>
      </c>
      <c r="S29" s="32" t="s">
        <v>36</v>
      </c>
      <c r="T29" s="32" t="s">
        <v>36</v>
      </c>
      <c r="U29" s="32" t="s">
        <v>36</v>
      </c>
      <c r="V29" s="32" t="s">
        <v>36</v>
      </c>
      <c r="W29" s="32" t="s">
        <v>36</v>
      </c>
      <c r="X29" s="32" t="s">
        <v>36</v>
      </c>
      <c r="Y29" s="6"/>
      <c r="Z29" s="33">
        <f t="shared" si="0"/>
        <v>0</v>
      </c>
      <c r="AA29" s="34">
        <f t="shared" si="5"/>
        <v>0</v>
      </c>
      <c r="AB29" s="37">
        <f t="shared" si="2"/>
        <v>0</v>
      </c>
      <c r="AC29" s="29">
        <f t="shared" si="3"/>
        <v>20</v>
      </c>
      <c r="AD29" s="36">
        <f t="shared" si="4"/>
        <v>1</v>
      </c>
    </row>
    <row r="30" spans="2:30" x14ac:dyDescent="0.25">
      <c r="B30" s="1"/>
      <c r="C30" s="30">
        <v>27</v>
      </c>
      <c r="D30" s="31" t="s">
        <v>28</v>
      </c>
      <c r="E30" s="32" t="s">
        <v>36</v>
      </c>
      <c r="F30" s="32" t="s">
        <v>36</v>
      </c>
      <c r="G30" s="32" t="s">
        <v>36</v>
      </c>
      <c r="H30" s="32" t="s">
        <v>36</v>
      </c>
      <c r="I30" s="32" t="s">
        <v>36</v>
      </c>
      <c r="J30" s="32" t="s">
        <v>36</v>
      </c>
      <c r="K30" s="32" t="s">
        <v>36</v>
      </c>
      <c r="L30" s="32" t="s">
        <v>36</v>
      </c>
      <c r="M30" s="32" t="s">
        <v>36</v>
      </c>
      <c r="N30" s="32" t="s">
        <v>36</v>
      </c>
      <c r="O30" s="32" t="s">
        <v>36</v>
      </c>
      <c r="P30" s="32" t="s">
        <v>36</v>
      </c>
      <c r="Q30" s="32" t="s">
        <v>36</v>
      </c>
      <c r="R30" s="32" t="s">
        <v>36</v>
      </c>
      <c r="S30" s="32" t="s">
        <v>36</v>
      </c>
      <c r="T30" s="32" t="s">
        <v>36</v>
      </c>
      <c r="U30" s="32" t="s">
        <v>36</v>
      </c>
      <c r="V30" s="32" t="s">
        <v>36</v>
      </c>
      <c r="W30" s="32" t="s">
        <v>36</v>
      </c>
      <c r="X30" s="32" t="s">
        <v>36</v>
      </c>
      <c r="Y30" s="6"/>
      <c r="Z30" s="33">
        <f t="shared" si="0"/>
        <v>0</v>
      </c>
      <c r="AA30" s="34">
        <f t="shared" si="5"/>
        <v>0</v>
      </c>
      <c r="AB30" s="37">
        <f t="shared" si="2"/>
        <v>0</v>
      </c>
      <c r="AC30" s="29">
        <f t="shared" si="3"/>
        <v>20</v>
      </c>
      <c r="AD30" s="36">
        <f t="shared" si="4"/>
        <v>1</v>
      </c>
    </row>
    <row r="31" spans="2:30" x14ac:dyDescent="0.25">
      <c r="B31" s="1"/>
      <c r="C31" s="30">
        <v>28</v>
      </c>
      <c r="D31" s="31" t="s">
        <v>29</v>
      </c>
      <c r="E31" s="32" t="s">
        <v>36</v>
      </c>
      <c r="F31" s="32" t="s">
        <v>36</v>
      </c>
      <c r="G31" s="32" t="s">
        <v>36</v>
      </c>
      <c r="H31" s="32" t="s">
        <v>36</v>
      </c>
      <c r="I31" s="32" t="s">
        <v>36</v>
      </c>
      <c r="J31" s="32" t="s">
        <v>36</v>
      </c>
      <c r="K31" s="32" t="s">
        <v>36</v>
      </c>
      <c r="L31" s="32" t="s">
        <v>36</v>
      </c>
      <c r="M31" s="32" t="s">
        <v>36</v>
      </c>
      <c r="N31" s="32" t="s">
        <v>36</v>
      </c>
      <c r="O31" s="32" t="s">
        <v>36</v>
      </c>
      <c r="P31" s="32" t="s">
        <v>36</v>
      </c>
      <c r="Q31" s="32" t="s">
        <v>36</v>
      </c>
      <c r="R31" s="32" t="s">
        <v>36</v>
      </c>
      <c r="S31" s="32" t="s">
        <v>36</v>
      </c>
      <c r="T31" s="32" t="s">
        <v>36</v>
      </c>
      <c r="U31" s="32" t="s">
        <v>36</v>
      </c>
      <c r="V31" s="32" t="s">
        <v>36</v>
      </c>
      <c r="W31" s="32" t="s">
        <v>36</v>
      </c>
      <c r="X31" s="32" t="s">
        <v>36</v>
      </c>
      <c r="Y31" s="6"/>
      <c r="Z31" s="33">
        <f t="shared" si="0"/>
        <v>0</v>
      </c>
      <c r="AA31" s="34">
        <f t="shared" si="5"/>
        <v>0</v>
      </c>
      <c r="AB31" s="37">
        <f t="shared" si="2"/>
        <v>0</v>
      </c>
      <c r="AC31" s="29">
        <f t="shared" si="3"/>
        <v>20</v>
      </c>
      <c r="AD31" s="36">
        <f t="shared" si="4"/>
        <v>1</v>
      </c>
    </row>
    <row r="32" spans="2:30" x14ac:dyDescent="0.25">
      <c r="B32" s="1"/>
      <c r="C32" s="30">
        <v>29</v>
      </c>
      <c r="D32" s="31" t="s">
        <v>30</v>
      </c>
      <c r="E32" s="32" t="s">
        <v>36</v>
      </c>
      <c r="F32" s="32" t="s">
        <v>36</v>
      </c>
      <c r="G32" s="32" t="s">
        <v>36</v>
      </c>
      <c r="H32" s="32" t="s">
        <v>36</v>
      </c>
      <c r="I32" s="32" t="s">
        <v>36</v>
      </c>
      <c r="J32" s="32" t="s">
        <v>36</v>
      </c>
      <c r="K32" s="32" t="s">
        <v>36</v>
      </c>
      <c r="L32" s="32" t="s">
        <v>36</v>
      </c>
      <c r="M32" s="32" t="s">
        <v>36</v>
      </c>
      <c r="N32" s="32" t="s">
        <v>36</v>
      </c>
      <c r="O32" s="32" t="s">
        <v>36</v>
      </c>
      <c r="P32" s="32" t="s">
        <v>36</v>
      </c>
      <c r="Q32" s="32" t="s">
        <v>36</v>
      </c>
      <c r="R32" s="32" t="s">
        <v>36</v>
      </c>
      <c r="S32" s="32" t="s">
        <v>36</v>
      </c>
      <c r="T32" s="32" t="s">
        <v>36</v>
      </c>
      <c r="U32" s="32" t="s">
        <v>36</v>
      </c>
      <c r="V32" s="32" t="s">
        <v>36</v>
      </c>
      <c r="W32" s="32" t="s">
        <v>36</v>
      </c>
      <c r="X32" s="32" t="s">
        <v>36</v>
      </c>
      <c r="Y32" s="6"/>
      <c r="Z32" s="33">
        <f t="shared" si="0"/>
        <v>0</v>
      </c>
      <c r="AA32" s="34">
        <f t="shared" si="5"/>
        <v>0</v>
      </c>
      <c r="AB32" s="37">
        <f t="shared" si="2"/>
        <v>0</v>
      </c>
      <c r="AC32" s="29">
        <f t="shared" si="3"/>
        <v>20</v>
      </c>
      <c r="AD32" s="36">
        <f t="shared" si="4"/>
        <v>1</v>
      </c>
    </row>
    <row r="33" spans="2:30" x14ac:dyDescent="0.25">
      <c r="B33" s="1"/>
      <c r="C33" s="30">
        <v>30</v>
      </c>
      <c r="D33" s="31" t="s">
        <v>31</v>
      </c>
      <c r="E33" s="32" t="s">
        <v>36</v>
      </c>
      <c r="F33" s="32" t="s">
        <v>36</v>
      </c>
      <c r="G33" s="32" t="s">
        <v>36</v>
      </c>
      <c r="H33" s="32" t="s">
        <v>36</v>
      </c>
      <c r="I33" s="32" t="s">
        <v>36</v>
      </c>
      <c r="J33" s="32" t="s">
        <v>36</v>
      </c>
      <c r="K33" s="32" t="s">
        <v>36</v>
      </c>
      <c r="L33" s="32" t="s">
        <v>36</v>
      </c>
      <c r="M33" s="32" t="s">
        <v>36</v>
      </c>
      <c r="N33" s="32" t="s">
        <v>36</v>
      </c>
      <c r="O33" s="32" t="s">
        <v>36</v>
      </c>
      <c r="P33" s="32" t="s">
        <v>36</v>
      </c>
      <c r="Q33" s="32" t="s">
        <v>36</v>
      </c>
      <c r="R33" s="32" t="s">
        <v>36</v>
      </c>
      <c r="S33" s="32" t="s">
        <v>36</v>
      </c>
      <c r="T33" s="32" t="s">
        <v>36</v>
      </c>
      <c r="U33" s="32" t="s">
        <v>36</v>
      </c>
      <c r="V33" s="32" t="s">
        <v>36</v>
      </c>
      <c r="W33" s="32" t="s">
        <v>36</v>
      </c>
      <c r="X33" s="32" t="s">
        <v>36</v>
      </c>
      <c r="Y33" s="6"/>
      <c r="Z33" s="33">
        <f t="shared" si="0"/>
        <v>0</v>
      </c>
      <c r="AA33" s="34">
        <f t="shared" si="5"/>
        <v>0</v>
      </c>
      <c r="AB33" s="37">
        <f t="shared" si="2"/>
        <v>0</v>
      </c>
      <c r="AC33" s="29">
        <f t="shared" si="3"/>
        <v>20</v>
      </c>
      <c r="AD33" s="36">
        <f t="shared" si="4"/>
        <v>1</v>
      </c>
    </row>
    <row r="34" spans="2:30" x14ac:dyDescent="0.25">
      <c r="B34" s="1"/>
      <c r="C34" s="30">
        <v>31</v>
      </c>
      <c r="D34" s="31" t="s">
        <v>32</v>
      </c>
      <c r="E34" s="32" t="s">
        <v>36</v>
      </c>
      <c r="F34" s="32" t="s">
        <v>36</v>
      </c>
      <c r="G34" s="32" t="s">
        <v>36</v>
      </c>
      <c r="H34" s="32" t="s">
        <v>36</v>
      </c>
      <c r="I34" s="32" t="s">
        <v>36</v>
      </c>
      <c r="J34" s="32" t="s">
        <v>36</v>
      </c>
      <c r="K34" s="32" t="s">
        <v>36</v>
      </c>
      <c r="L34" s="32" t="s">
        <v>36</v>
      </c>
      <c r="M34" s="32" t="s">
        <v>36</v>
      </c>
      <c r="N34" s="32" t="s">
        <v>36</v>
      </c>
      <c r="O34" s="32" t="s">
        <v>36</v>
      </c>
      <c r="P34" s="32" t="s">
        <v>36</v>
      </c>
      <c r="Q34" s="32" t="s">
        <v>36</v>
      </c>
      <c r="R34" s="32" t="s">
        <v>36</v>
      </c>
      <c r="S34" s="32" t="s">
        <v>36</v>
      </c>
      <c r="T34" s="32" t="s">
        <v>36</v>
      </c>
      <c r="U34" s="32" t="s">
        <v>36</v>
      </c>
      <c r="V34" s="32" t="s">
        <v>36</v>
      </c>
      <c r="W34" s="32" t="s">
        <v>36</v>
      </c>
      <c r="X34" s="32" t="s">
        <v>36</v>
      </c>
      <c r="Y34" s="6"/>
      <c r="Z34" s="33">
        <f t="shared" si="0"/>
        <v>0</v>
      </c>
      <c r="AA34" s="34">
        <f t="shared" si="5"/>
        <v>0</v>
      </c>
      <c r="AB34" s="37">
        <f t="shared" si="2"/>
        <v>0</v>
      </c>
      <c r="AC34" s="29">
        <f t="shared" si="3"/>
        <v>20</v>
      </c>
      <c r="AD34" s="36">
        <f t="shared" si="4"/>
        <v>1</v>
      </c>
    </row>
    <row r="35" spans="2:30" x14ac:dyDescent="0.25">
      <c r="B35" s="1"/>
      <c r="C35" s="30">
        <v>32</v>
      </c>
      <c r="D35" s="31" t="s">
        <v>33</v>
      </c>
      <c r="E35" s="32" t="s">
        <v>36</v>
      </c>
      <c r="F35" s="32" t="s">
        <v>36</v>
      </c>
      <c r="G35" s="32" t="s">
        <v>36</v>
      </c>
      <c r="H35" s="32" t="s">
        <v>36</v>
      </c>
      <c r="I35" s="32" t="s">
        <v>36</v>
      </c>
      <c r="J35" s="32" t="s">
        <v>36</v>
      </c>
      <c r="K35" s="32" t="s">
        <v>36</v>
      </c>
      <c r="L35" s="32" t="s">
        <v>36</v>
      </c>
      <c r="M35" s="32" t="s">
        <v>36</v>
      </c>
      <c r="N35" s="32" t="s">
        <v>36</v>
      </c>
      <c r="O35" s="32" t="s">
        <v>36</v>
      </c>
      <c r="P35" s="32" t="s">
        <v>36</v>
      </c>
      <c r="Q35" s="32" t="s">
        <v>36</v>
      </c>
      <c r="R35" s="32" t="s">
        <v>36</v>
      </c>
      <c r="S35" s="32" t="s">
        <v>36</v>
      </c>
      <c r="T35" s="32" t="s">
        <v>36</v>
      </c>
      <c r="U35" s="32" t="s">
        <v>36</v>
      </c>
      <c r="V35" s="32" t="s">
        <v>36</v>
      </c>
      <c r="W35" s="32" t="s">
        <v>36</v>
      </c>
      <c r="X35" s="32" t="s">
        <v>36</v>
      </c>
      <c r="Y35" s="6"/>
      <c r="Z35" s="33">
        <f t="shared" si="0"/>
        <v>0</v>
      </c>
      <c r="AA35" s="34">
        <f t="shared" si="5"/>
        <v>0</v>
      </c>
      <c r="AB35" s="37">
        <f t="shared" si="2"/>
        <v>0</v>
      </c>
      <c r="AC35" s="29">
        <f t="shared" si="3"/>
        <v>20</v>
      </c>
      <c r="AD35" s="36">
        <f t="shared" si="4"/>
        <v>1</v>
      </c>
    </row>
    <row r="36" spans="2:30" x14ac:dyDescent="0.25">
      <c r="B36" s="1"/>
      <c r="C36" s="30">
        <v>33</v>
      </c>
      <c r="D36" s="31" t="s">
        <v>34</v>
      </c>
      <c r="E36" s="32" t="s">
        <v>36</v>
      </c>
      <c r="F36" s="32" t="s">
        <v>36</v>
      </c>
      <c r="G36" s="32" t="s">
        <v>36</v>
      </c>
      <c r="H36" s="32" t="s">
        <v>36</v>
      </c>
      <c r="I36" s="32" t="s">
        <v>36</v>
      </c>
      <c r="J36" s="32" t="s">
        <v>36</v>
      </c>
      <c r="K36" s="32" t="s">
        <v>36</v>
      </c>
      <c r="L36" s="32" t="s">
        <v>36</v>
      </c>
      <c r="M36" s="32" t="s">
        <v>36</v>
      </c>
      <c r="N36" s="32" t="s">
        <v>36</v>
      </c>
      <c r="O36" s="32" t="s">
        <v>36</v>
      </c>
      <c r="P36" s="32" t="s">
        <v>36</v>
      </c>
      <c r="Q36" s="32" t="s">
        <v>36</v>
      </c>
      <c r="R36" s="32" t="s">
        <v>36</v>
      </c>
      <c r="S36" s="32" t="s">
        <v>36</v>
      </c>
      <c r="T36" s="32" t="s">
        <v>36</v>
      </c>
      <c r="U36" s="32" t="s">
        <v>36</v>
      </c>
      <c r="V36" s="32" t="s">
        <v>36</v>
      </c>
      <c r="W36" s="32" t="s">
        <v>36</v>
      </c>
      <c r="X36" s="32" t="s">
        <v>36</v>
      </c>
      <c r="Y36" s="6"/>
      <c r="Z36" s="33">
        <f t="shared" si="0"/>
        <v>0</v>
      </c>
      <c r="AA36" s="34">
        <f t="shared" si="5"/>
        <v>0</v>
      </c>
      <c r="AB36" s="37">
        <f t="shared" si="2"/>
        <v>0</v>
      </c>
      <c r="AC36" s="29">
        <f t="shared" si="3"/>
        <v>20</v>
      </c>
      <c r="AD36" s="36">
        <f t="shared" si="4"/>
        <v>1</v>
      </c>
    </row>
    <row r="37" spans="2:30" x14ac:dyDescent="0.25">
      <c r="AD37" s="2"/>
    </row>
  </sheetData>
  <mergeCells count="12">
    <mergeCell ref="U2:X2"/>
    <mergeCell ref="E1:X1"/>
    <mergeCell ref="Z1:Z3"/>
    <mergeCell ref="AA1:AA3"/>
    <mergeCell ref="AB1:AB3"/>
    <mergeCell ref="AC1:AC3"/>
    <mergeCell ref="AD1:AD3"/>
    <mergeCell ref="E2:H2"/>
    <mergeCell ref="I2:L2"/>
    <mergeCell ref="C3:D3"/>
    <mergeCell ref="M2:P2"/>
    <mergeCell ref="Q2:T2"/>
  </mergeCells>
  <conditionalFormatting sqref="E4:H36">
    <cfRule type="cellIs" dxfId="22" priority="20" operator="equal">
      <formula>"a"</formula>
    </cfRule>
    <cfRule type="cellIs" dxfId="21" priority="21" operator="equal">
      <formula>"i"</formula>
    </cfRule>
    <cfRule type="cellIs" dxfId="20" priority="22" operator="equal">
      <formula>"s"</formula>
    </cfRule>
    <cfRule type="cellIs" dxfId="19" priority="23" operator="equal">
      <formula>"v"</formula>
    </cfRule>
  </conditionalFormatting>
  <conditionalFormatting sqref="I4:L36">
    <cfRule type="cellIs" dxfId="18" priority="16" operator="equal">
      <formula>"a"</formula>
    </cfRule>
    <cfRule type="cellIs" dxfId="17" priority="17" operator="equal">
      <formula>"i"</formula>
    </cfRule>
    <cfRule type="cellIs" dxfId="16" priority="18" operator="equal">
      <formula>"s"</formula>
    </cfRule>
    <cfRule type="cellIs" dxfId="15" priority="19" operator="equal">
      <formula>"v"</formula>
    </cfRule>
  </conditionalFormatting>
  <conditionalFormatting sqref="M4:P36">
    <cfRule type="cellIs" dxfId="14" priority="12" operator="equal">
      <formula>"a"</formula>
    </cfRule>
    <cfRule type="cellIs" dxfId="13" priority="13" operator="equal">
      <formula>"i"</formula>
    </cfRule>
    <cfRule type="cellIs" dxfId="12" priority="14" operator="equal">
      <formula>"s"</formula>
    </cfRule>
    <cfRule type="cellIs" dxfId="11" priority="15" operator="equal">
      <formula>"v"</formula>
    </cfRule>
  </conditionalFormatting>
  <conditionalFormatting sqref="Q4:T36">
    <cfRule type="cellIs" dxfId="10" priority="8" operator="equal">
      <formula>"a"</formula>
    </cfRule>
    <cfRule type="cellIs" dxfId="9" priority="9" operator="equal">
      <formula>"i"</formula>
    </cfRule>
    <cfRule type="cellIs" dxfId="8" priority="10" operator="equal">
      <formula>"s"</formula>
    </cfRule>
    <cfRule type="cellIs" dxfId="7" priority="11" operator="equal">
      <formula>"v"</formula>
    </cfRule>
  </conditionalFormatting>
  <conditionalFormatting sqref="U4:X36">
    <cfRule type="cellIs" dxfId="6" priority="4" operator="equal">
      <formula>"a"</formula>
    </cfRule>
    <cfRule type="cellIs" dxfId="5" priority="5" operator="equal">
      <formula>"i"</formula>
    </cfRule>
    <cfRule type="cellIs" dxfId="4" priority="6" operator="equal">
      <formula>"s"</formula>
    </cfRule>
    <cfRule type="cellIs" dxfId="3" priority="7" operator="equal">
      <formula>"v"</formula>
    </cfRule>
  </conditionalFormatting>
  <conditionalFormatting sqref="Z1">
    <cfRule type="cellIs" dxfId="2" priority="3" operator="equal">
      <formula>"ALPHA"</formula>
    </cfRule>
  </conditionalFormatting>
  <conditionalFormatting sqref="Z7">
    <cfRule type="cellIs" dxfId="1" priority="2" operator="equal">
      <formula>5</formula>
    </cfRule>
  </conditionalFormatting>
  <conditionalFormatting sqref="Z11">
    <cfRule type="cellIs" dxfId="0" priority="1" operator="equal">
      <formula>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2026-05-11T03:33:45Z</dcterms:created>
  <dcterms:modified xsi:type="dcterms:W3CDTF">2026-05-11T04:41:30Z</dcterms:modified>
</cp:coreProperties>
</file>